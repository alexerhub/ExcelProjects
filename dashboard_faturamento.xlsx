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B85238E-53D8-4A26-8A13-52484C4D30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ançamentos" sheetId="1" r:id="rId1"/>
    <sheet name="Meta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F18" i="3" a="1"/>
  <c r="F18" i="3" s="1"/>
  <c r="K18" i="3" a="1"/>
  <c r="K18" i="3" s="1"/>
  <c r="K26" i="3" s="1"/>
  <c r="U9" i="3"/>
  <c r="R9" i="3"/>
  <c r="O9" i="3"/>
  <c r="F9" i="3"/>
  <c r="K9" i="3"/>
  <c r="B9" i="3"/>
  <c r="O26" i="3" s="1"/>
  <c r="B26" i="3" l="1"/>
  <c r="S2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<sst xmlns="http://schemas.openxmlformats.org/spreadsheetml/2006/main" count="23" uniqueCount="23">
  <si>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Data</t>
  </si>
  <si>
    <t>Faturamento</t>
  </si>
  <si>
    <t>Observação</t>
  </si>
  <si>
    <t>Tipo</t>
  </si>
  <si>
    <t>Valor</t>
  </si>
  <si>
    <t>Meta diária</t>
  </si>
  <si>
    <t>Meta mensal</t>
  </si>
  <si>
    <t>DASHBOARD DE FATURAMENTO</t>
  </si>
  <si>
    <t>Faturamento Hoje</t>
  </si>
  <si>
    <t>MÉDIA Diária</t>
  </si>
  <si>
    <t>META Diária</t>
  </si>
  <si>
    <t>META Mensal</t>
  </si>
  <si>
    <t>Meta Diária</t>
  </si>
  <si>
    <t>Meta Mensal</t>
  </si>
  <si>
    <t>METAS</t>
  </si>
  <si>
    <t>Meta Crescimento</t>
  </si>
  <si>
    <t xml:space="preserve">LANÇAMENTOS </t>
  </si>
  <si>
    <t>Faturamento Mês Atual</t>
  </si>
  <si>
    <t>Faturamento Mês Passado</t>
  </si>
  <si>
    <t>Faturamento Ontem</t>
  </si>
  <si>
    <t>Crescimento (%)</t>
  </si>
  <si>
    <t>Variação diária (%)</t>
  </si>
  <si>
    <t>Variação mensal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</si>
</sst>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1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left"/>
    </xf>
    <xf numFmtId="0" fontId="1" fillId="2" borderId="12" xfId="0" applyFont="1" applyFill="1" applyBorder="1" applyAlignment="1">
      <alignment vertical="center"/>
    </xf>
    <xf numFmtId="164" fontId="4" fillId="2" borderId="12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0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297180</xdr:colOff>
      <xdr:row>2</xdr:row>
      <xdr:rowOff>7620</xdr:rowOff>
    </xdr:from>
    <xdr:to>
      <xdr:col>13</xdr:col>
      <xdr:colOff>304800</xdr:colOff>
      <xdr:row>30</xdr:row>
      <xdr:rowOff>71717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45E562B0-BE6D-989E-CE68-441ADE00D03C}"/>
            </a:ext>
          </a:extLst>
        </xdr:cNvPr>
        <xdr:cNvCxnSpPr/>
      </xdr:nvCxnSpPr>
      <xdr:spPr>
        <a:xfrm>
          <a:off x="9907345" y="455855"/>
          <a:ext cx="7620" cy="55953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4</xdr:row>
      <xdr:rowOff>171450</xdr:rowOff>
    </xdr:from>
    <xdr:to>
      <xdr:col>4</xdr:col>
      <xdr:colOff>242888</xdr:colOff>
      <xdr:row>21</xdr:row>
      <xdr:rowOff>20731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AF60B40-F711-487A-AB73-3E9633DD3EB6}"/>
            </a:ext>
          </a:extLst>
        </xdr:cNvPr>
        <xdr:cNvCxnSpPr/>
      </xdr:nvCxnSpPr>
      <xdr:spPr>
        <a:xfrm>
          <a:off x="4137212" y="978274"/>
          <a:ext cx="14288" cy="34082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215153</xdr:colOff>
      <xdr:row>5</xdr:row>
      <xdr:rowOff>8965</xdr:rowOff>
    </xdr:from>
    <xdr:to>
      <xdr:col>9</xdr:col>
      <xdr:colOff>229441</xdr:colOff>
      <xdr:row>21</xdr:row>
      <xdr:rowOff>37540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C6AEE59-1C04-4FCE-966E-4C75EDE7C016}"/>
            </a:ext>
          </a:extLst>
        </xdr:cNvPr>
        <xdr:cNvCxnSpPr/>
      </xdr:nvCxnSpPr>
      <xdr:spPr>
        <a:xfrm>
          <a:off x="7055224" y="995083"/>
          <a:ext cx="14288" cy="34082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B3" sqref="B3"/>
    </sheetView>
  </sheetViews>
  <sheetFormatPr defaultRowHeight="14.4" x14ac:dyDescent="0.3"/>
  <cols>
    <col min="1" max="1" width="14.21875" customWidth="1"/>
    <col min="2" max="2" width="19.88671875" customWidth="1"/>
    <col min="3" max="3" width="24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6">
        <v>46147</v>
      </c>
      <c r="B2" s="7">
        <v>700</v>
      </c>
      <c r="C2" s="3"/>
    </row>
    <row r="3" spans="1:3" x14ac:dyDescent="0.3">
      <c r="A3" s="10">
        <v>46148</v>
      </c>
      <c r="B3" s="8">
        <v>700</v>
      </c>
      <c r="C3" s="4"/>
    </row>
    <row r="4" spans="1:3" x14ac:dyDescent="0.3">
      <c r="A4" s="10">
        <v>46149</v>
      </c>
      <c r="B4" s="8">
        <v>700</v>
      </c>
      <c r="C4" s="4"/>
    </row>
    <row r="5" spans="1:3" x14ac:dyDescent="0.3">
      <c r="A5" s="10">
        <v>46150</v>
      </c>
      <c r="B5" s="8">
        <v>800</v>
      </c>
      <c r="C5" s="4"/>
    </row>
    <row r="6" spans="1:3" x14ac:dyDescent="0.3">
      <c r="A6" s="10">
        <v>46151</v>
      </c>
      <c r="B6" s="8">
        <v>900</v>
      </c>
      <c r="C6" s="4"/>
    </row>
    <row r="7" spans="1:3" x14ac:dyDescent="0.3">
      <c r="A7" s="10">
        <v>46152</v>
      </c>
      <c r="B7" s="8">
        <v>900</v>
      </c>
      <c r="C7" s="4"/>
    </row>
    <row r="8" spans="1:3" x14ac:dyDescent="0.3">
      <c r="A8" s="10">
        <v>46153</v>
      </c>
      <c r="B8" s="8">
        <v>900</v>
      </c>
      <c r="C8" s="4"/>
    </row>
    <row r="9" spans="1:3" x14ac:dyDescent="0.3">
      <c r="A9" s="10">
        <v>46154</v>
      </c>
      <c r="B9" s="8">
        <v>900</v>
      </c>
      <c r="C9" s="4"/>
    </row>
    <row r="10" spans="1:3" x14ac:dyDescent="0.3">
      <c r="A10" s="10">
        <v>46155</v>
      </c>
      <c r="B10" s="8">
        <v>900</v>
      </c>
      <c r="C10" s="4"/>
    </row>
    <row r="11" spans="1:3" x14ac:dyDescent="0.3">
      <c r="A11" s="10">
        <v>46156</v>
      </c>
      <c r="B11" s="8">
        <v>900</v>
      </c>
      <c r="C11" s="4"/>
    </row>
    <row r="12" spans="1:3" x14ac:dyDescent="0.3">
      <c r="A12" s="10">
        <v>46157</v>
      </c>
      <c r="B12" s="8">
        <v>900</v>
      </c>
      <c r="C12" s="4"/>
    </row>
    <row r="13" spans="1:3" x14ac:dyDescent="0.3">
      <c r="A13" s="10">
        <v>46158</v>
      </c>
      <c r="B13" s="8">
        <v>900</v>
      </c>
      <c r="C13" s="4"/>
    </row>
    <row r="14" spans="1:3" x14ac:dyDescent="0.3">
      <c r="A14" s="10">
        <v>46159</v>
      </c>
      <c r="B14" s="8">
        <v>900</v>
      </c>
      <c r="C14" s="4"/>
    </row>
    <row r="15" spans="1:3" x14ac:dyDescent="0.3">
      <c r="A15" s="10">
        <v>46160</v>
      </c>
      <c r="B15" s="8">
        <v>900</v>
      </c>
      <c r="C15" s="4"/>
    </row>
    <row r="16" spans="1:3" x14ac:dyDescent="0.3">
      <c r="A16" s="10">
        <v>46161</v>
      </c>
      <c r="B16" s="8">
        <v>900</v>
      </c>
      <c r="C16" s="4"/>
    </row>
    <row r="17" spans="1:3" x14ac:dyDescent="0.3">
      <c r="A17" s="10">
        <v>46162</v>
      </c>
      <c r="B17" s="8">
        <v>900</v>
      </c>
      <c r="C17" s="4"/>
    </row>
    <row r="18" spans="1:3" x14ac:dyDescent="0.3">
      <c r="A18" s="10">
        <v>46163</v>
      </c>
      <c r="B18" s="8">
        <v>900</v>
      </c>
      <c r="C18" s="4"/>
    </row>
    <row r="19" spans="1:3" x14ac:dyDescent="0.3">
      <c r="A19" s="10">
        <v>46164</v>
      </c>
      <c r="B19" s="8">
        <v>900</v>
      </c>
      <c r="C19" s="4"/>
    </row>
    <row r="20" spans="1:3" x14ac:dyDescent="0.3">
      <c r="A20" s="10">
        <v>46165</v>
      </c>
      <c r="B20" s="8">
        <v>900</v>
      </c>
      <c r="C20" s="4"/>
    </row>
    <row r="21" spans="1:3" x14ac:dyDescent="0.3">
      <c r="A21" s="10">
        <v>46166</v>
      </c>
      <c r="B21" s="8">
        <v>900</v>
      </c>
      <c r="C21" s="4"/>
    </row>
    <row r="22" spans="1:3" x14ac:dyDescent="0.3">
      <c r="A22" s="10">
        <v>46167</v>
      </c>
      <c r="B22" s="8">
        <v>900</v>
      </c>
      <c r="C22" s="4"/>
    </row>
    <row r="23" spans="1:3" x14ac:dyDescent="0.3">
      <c r="A23" s="10">
        <v>46168</v>
      </c>
      <c r="B23" s="8">
        <v>900</v>
      </c>
      <c r="C23" s="4"/>
    </row>
    <row r="24" spans="1:3" x14ac:dyDescent="0.3">
      <c r="A24" s="10">
        <v>46169</v>
      </c>
      <c r="B24" s="8">
        <v>900</v>
      </c>
      <c r="C24" s="4"/>
    </row>
    <row r="25" spans="1:3" x14ac:dyDescent="0.3">
      <c r="A25" s="10">
        <v>46170</v>
      </c>
      <c r="B25" s="8">
        <v>900</v>
      </c>
      <c r="C25" s="4"/>
    </row>
    <row r="26" spans="1:3" x14ac:dyDescent="0.3">
      <c r="A26" s="10">
        <v>46171</v>
      </c>
      <c r="B26" s="8">
        <v>900</v>
      </c>
      <c r="C26" s="4"/>
    </row>
    <row r="27" spans="1:3" x14ac:dyDescent="0.3">
      <c r="A27" s="11">
        <v>46172</v>
      </c>
      <c r="B27" s="9">
        <v>900</v>
      </c>
      <c r="C2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4.4" x14ac:dyDescent="0.3"/>
  <cols>
    <col min="1" max="1" width="16.44140625" customWidth="1"/>
    <col min="2" max="2" width="18.441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s="14">
        <v>701</v>
      </c>
    </row>
    <row r="3" spans="1:2" x14ac:dyDescent="0.3">
      <c r="A3" t="s">
        <v>6</v>
      </c>
      <c r="B3" s="14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4"/>
  <sheetViews>
    <sheetView tabSelected="1" zoomScale="85" zoomScaleNormal="85" workbookViewId="0">
      <selection activeCell="T38" sqref="T38"/>
    </sheetView>
  </sheetViews>
  <sheetFormatPr defaultRowHeight="14.4" x14ac:dyDescent="0.3"/>
  <cols>
    <col min="1" max="1" width="13.77734375" customWidth="1"/>
    <col min="2" max="2" width="16.33203125" bestFit="1" customWidth="1"/>
    <col min="3" max="3" width="13.88671875" customWidth="1"/>
    <col min="4" max="4" width="13.109375" customWidth="1"/>
    <col min="5" max="5" width="6.6640625" customWidth="1"/>
    <col min="6" max="7" width="4" bestFit="1" customWidth="1"/>
    <col min="8" max="8" width="12" bestFit="1" customWidth="1"/>
    <col min="9" max="9" width="16" bestFit="1" customWidth="1"/>
    <col min="10" max="10" width="6.44140625" customWidth="1"/>
    <col min="13" max="13" width="16.44140625" customWidth="1"/>
  </cols>
  <sheetData>
    <row r="1" spans="1:25" ht="21" customHeight="1" x14ac:dyDescent="0.3">
      <c r="A1" s="24" t="s">
        <v>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14.4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x14ac:dyDescent="0.3">
      <c r="A3" s="25"/>
      <c r="B3" s="27" t="s">
        <v>16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12"/>
      <c r="O3" s="27" t="s">
        <v>14</v>
      </c>
      <c r="P3" s="28"/>
      <c r="Q3" s="28"/>
      <c r="R3" s="28"/>
      <c r="S3" s="28"/>
      <c r="T3" s="28"/>
      <c r="U3" s="28"/>
      <c r="V3" s="28"/>
      <c r="W3" s="12"/>
      <c r="X3" s="12"/>
      <c r="Y3" s="12"/>
    </row>
    <row r="4" spans="1:25" x14ac:dyDescent="0.3">
      <c r="A4" s="25"/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12"/>
      <c r="O4" s="27"/>
      <c r="P4" s="28"/>
      <c r="Q4" s="28"/>
      <c r="R4" s="28"/>
      <c r="S4" s="28"/>
      <c r="T4" s="28"/>
      <c r="U4" s="28"/>
      <c r="V4" s="28"/>
      <c r="W4" s="12"/>
      <c r="X4" s="12"/>
      <c r="Y4" s="12"/>
    </row>
    <row r="5" spans="1:25" x14ac:dyDescent="0.3">
      <c r="A5" s="25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14.4" customHeight="1" x14ac:dyDescent="0.3">
      <c r="A6" s="25"/>
      <c r="B6" s="19" t="s">
        <v>8</v>
      </c>
      <c r="C6" s="20"/>
      <c r="D6" s="21"/>
      <c r="E6" s="12"/>
      <c r="F6" s="19" t="s">
        <v>9</v>
      </c>
      <c r="G6" s="26"/>
      <c r="H6" s="26"/>
      <c r="I6" s="21"/>
      <c r="J6" s="12"/>
      <c r="K6" s="19" t="s">
        <v>17</v>
      </c>
      <c r="L6" s="26"/>
      <c r="M6" s="26"/>
      <c r="N6" s="12"/>
      <c r="O6" s="19" t="s">
        <v>12</v>
      </c>
      <c r="P6" s="21"/>
      <c r="Q6" s="15"/>
      <c r="R6" s="19" t="s">
        <v>13</v>
      </c>
      <c r="S6" s="21"/>
      <c r="T6" s="17"/>
      <c r="U6" s="19" t="s">
        <v>15</v>
      </c>
      <c r="V6" s="21"/>
      <c r="W6" s="12"/>
      <c r="X6" s="12"/>
      <c r="Y6" s="12"/>
    </row>
    <row r="7" spans="1:25" ht="14.4" customHeight="1" x14ac:dyDescent="0.3">
      <c r="A7" s="25"/>
      <c r="B7" s="19"/>
      <c r="C7" s="20"/>
      <c r="D7" s="21"/>
      <c r="E7" s="12"/>
      <c r="F7" s="19"/>
      <c r="G7" s="26"/>
      <c r="H7" s="26"/>
      <c r="I7" s="21"/>
      <c r="J7" s="12"/>
      <c r="K7" s="19"/>
      <c r="L7" s="26"/>
      <c r="M7" s="26"/>
      <c r="N7" s="12"/>
      <c r="O7" s="19"/>
      <c r="P7" s="21"/>
      <c r="Q7" s="15"/>
      <c r="R7" s="19"/>
      <c r="S7" s="21"/>
      <c r="T7" s="17"/>
      <c r="U7" s="19"/>
      <c r="V7" s="21"/>
      <c r="W7" s="12"/>
      <c r="X7" s="12"/>
      <c r="Y7" s="12"/>
    </row>
    <row r="8" spans="1:25" ht="14.4" customHeight="1" x14ac:dyDescent="0.3">
      <c r="A8" s="25"/>
      <c r="B8" s="13"/>
      <c r="C8" s="13"/>
      <c r="D8" s="13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7"/>
      <c r="U8" s="12"/>
      <c r="V8" s="12"/>
      <c r="W8" s="12"/>
      <c r="X8" s="12"/>
      <c r="Y8" s="12"/>
    </row>
    <row r="9" spans="1:25" ht="14.4" customHeight="1" x14ac:dyDescent="0.3">
      <c r="A9" s="25"/>
      <c r="B9" s="18">
        <f ca="1">SUMIFS(Lançamentos!B:B, Lançamentos!A:A, TODAY())</f>
        <v>700</v>
      </c>
      <c r="C9" s="18"/>
      <c r="D9" s="18"/>
      <c r="E9" s="12"/>
      <c r="F9" s="18">
        <f>AVERAGE(Lançamentos!B:B)</f>
        <v>873.07692307692309</v>
      </c>
      <c r="G9" s="18"/>
      <c r="H9" s="18"/>
      <c r="I9" s="18"/>
      <c r="J9" s="12"/>
      <c r="K9" s="18">
        <f ca="1">SUMIFS(Lançamentos!B:B, Lançamentos!A:A, "&gt;="&amp;DATE(YEAR(TODAY()),MONTH(TODAY()),1), Lançamentos!A:A, "&lt;="&amp;TODAY())</f>
        <v>1400</v>
      </c>
      <c r="L9" s="18"/>
      <c r="M9" s="18"/>
      <c r="N9" s="12"/>
      <c r="O9" s="22">
        <f>Metas!B2</f>
        <v>701</v>
      </c>
      <c r="P9" s="23"/>
      <c r="Q9" s="16"/>
      <c r="R9" s="22">
        <f>Metas!B3</f>
        <v>1400</v>
      </c>
      <c r="S9" s="23"/>
      <c r="T9" s="17"/>
      <c r="U9" s="22">
        <f>Metas!E3</f>
        <v>0</v>
      </c>
      <c r="V9" s="23"/>
      <c r="W9" s="12"/>
      <c r="X9" s="12"/>
      <c r="Y9" s="12"/>
    </row>
    <row r="10" spans="1:25" ht="14.4" customHeight="1" x14ac:dyDescent="0.3">
      <c r="A10" s="25"/>
      <c r="B10" s="18"/>
      <c r="C10" s="18"/>
      <c r="D10" s="18"/>
      <c r="E10" s="12"/>
      <c r="F10" s="18"/>
      <c r="G10" s="18"/>
      <c r="H10" s="18"/>
      <c r="I10" s="18"/>
      <c r="J10" s="12"/>
      <c r="K10" s="18"/>
      <c r="L10" s="18"/>
      <c r="M10" s="18"/>
      <c r="N10" s="12"/>
      <c r="O10" s="22"/>
      <c r="P10" s="23"/>
      <c r="Q10" s="16"/>
      <c r="R10" s="22"/>
      <c r="S10" s="23"/>
      <c r="T10" s="12"/>
      <c r="U10" s="22"/>
      <c r="V10" s="23"/>
      <c r="W10" s="12"/>
      <c r="X10" s="12"/>
      <c r="Y10" s="12"/>
    </row>
    <row r="11" spans="1:25" ht="14.4" customHeight="1" x14ac:dyDescent="0.3">
      <c r="A11" s="25"/>
      <c r="B11" s="18"/>
      <c r="C11" s="18"/>
      <c r="D11" s="18"/>
      <c r="E11" s="12"/>
      <c r="F11" s="18"/>
      <c r="G11" s="18"/>
      <c r="H11" s="18"/>
      <c r="I11" s="18"/>
      <c r="J11" s="12"/>
      <c r="K11" s="18"/>
      <c r="L11" s="18"/>
      <c r="M11" s="18"/>
      <c r="N11" s="12"/>
      <c r="O11" s="22"/>
      <c r="P11" s="23"/>
      <c r="Q11" s="16"/>
      <c r="R11" s="22"/>
      <c r="S11" s="23"/>
      <c r="T11" s="12"/>
      <c r="U11" s="22"/>
      <c r="V11" s="23"/>
      <c r="W11" s="12"/>
      <c r="X11" s="12"/>
      <c r="Y11" s="12"/>
    </row>
    <row r="12" spans="1:25" ht="14.4" customHeight="1" x14ac:dyDescent="0.3">
      <c r="A12" s="25"/>
      <c r="B12" s="18"/>
      <c r="C12" s="18"/>
      <c r="D12" s="18"/>
      <c r="E12" s="12"/>
      <c r="F12" s="18"/>
      <c r="G12" s="18"/>
      <c r="H12" s="18"/>
      <c r="I12" s="18"/>
      <c r="J12" s="12"/>
      <c r="K12" s="18"/>
      <c r="L12" s="18"/>
      <c r="M12" s="18"/>
      <c r="N12" s="12"/>
      <c r="O12" s="22"/>
      <c r="P12" s="23"/>
      <c r="Q12" s="16"/>
      <c r="R12" s="22"/>
      <c r="S12" s="23"/>
      <c r="T12" s="12"/>
      <c r="U12" s="22"/>
      <c r="V12" s="23"/>
      <c r="W12" s="12"/>
      <c r="X12" s="12"/>
      <c r="Y12" s="12"/>
    </row>
    <row r="13" spans="1:25" ht="14.4" customHeight="1" x14ac:dyDescent="0.3">
      <c r="A13" s="25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/>
      <c r="P13" s="23"/>
      <c r="Q13" s="16"/>
      <c r="R13" s="22"/>
      <c r="S13" s="23"/>
      <c r="T13" s="12"/>
      <c r="U13" s="22"/>
      <c r="V13" s="23"/>
      <c r="W13" s="12"/>
      <c r="X13" s="12"/>
      <c r="Y13" s="12"/>
    </row>
    <row r="14" spans="1:25" ht="14.4" customHeight="1" x14ac:dyDescent="0.3">
      <c r="A14" s="25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/>
      <c r="P14" s="23"/>
      <c r="Q14" s="16"/>
      <c r="R14" s="22"/>
      <c r="S14" s="23"/>
      <c r="T14" s="12"/>
      <c r="U14" s="22"/>
      <c r="V14" s="23"/>
      <c r="W14" s="12"/>
      <c r="X14" s="12"/>
      <c r="Y14" s="12"/>
    </row>
    <row r="15" spans="1:25" ht="18" customHeight="1" x14ac:dyDescent="0.3">
      <c r="A15" s="25"/>
      <c r="B15" s="19" t="s">
        <v>19</v>
      </c>
      <c r="C15" s="20"/>
      <c r="D15" s="21"/>
      <c r="E15" s="12"/>
      <c r="F15" s="19" t="s">
        <v>20</v>
      </c>
      <c r="G15" s="26"/>
      <c r="H15" s="26"/>
      <c r="I15" s="21"/>
      <c r="J15" s="12"/>
      <c r="K15" s="19" t="s">
        <v>18</v>
      </c>
      <c r="L15" s="20"/>
      <c r="M15" s="21"/>
      <c r="N15" s="12"/>
      <c r="O15" s="22"/>
      <c r="P15" s="23"/>
      <c r="Q15" s="16"/>
      <c r="R15" s="22"/>
      <c r="S15" s="23"/>
      <c r="T15" s="12"/>
      <c r="U15" s="22"/>
      <c r="V15" s="23"/>
      <c r="W15" s="12"/>
      <c r="X15" s="12"/>
      <c r="Y15" s="12"/>
    </row>
    <row r="16" spans="1:25" ht="18" customHeight="1" x14ac:dyDescent="0.3">
      <c r="A16" s="25"/>
      <c r="B16" s="19"/>
      <c r="C16" s="20"/>
      <c r="D16" s="21"/>
      <c r="E16" s="12"/>
      <c r="F16" s="19"/>
      <c r="G16" s="26"/>
      <c r="H16" s="26"/>
      <c r="I16" s="21"/>
      <c r="J16" s="12"/>
      <c r="K16" s="19"/>
      <c r="L16" s="20"/>
      <c r="M16" s="21"/>
      <c r="N16" s="12"/>
      <c r="O16" s="22"/>
      <c r="P16" s="23"/>
      <c r="Q16" s="16"/>
      <c r="R16" s="22"/>
      <c r="S16" s="23"/>
      <c r="T16" s="12"/>
      <c r="U16" s="22"/>
      <c r="V16" s="23"/>
      <c r="W16" s="12"/>
      <c r="X16" s="12"/>
      <c r="Y16" s="12"/>
    </row>
    <row r="17" spans="1:25" ht="18" customHeight="1" x14ac:dyDescent="0.3">
      <c r="A17" s="25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/>
      <c r="P17" s="23"/>
      <c r="Q17" s="16"/>
      <c r="R17" s="22"/>
      <c r="S17" s="23"/>
      <c r="T17" s="12"/>
      <c r="U17" s="22"/>
      <c r="V17" s="23"/>
      <c r="W17" s="12"/>
      <c r="X17" s="12"/>
      <c r="Y17" s="12"/>
    </row>
    <row r="18" spans="1:25" ht="14.4" customHeight="1" x14ac:dyDescent="0.3">
      <c r="A18" s="25"/>
      <c r="B18" s="18">
        <f ca="1">SUMIFS(Lançamentos!B:B,Lançamentos!A:A,TODAY()-1)</f>
        <v>700</v>
      </c>
      <c r="C18" s="18"/>
      <c r="D18" s="18"/>
      <c r="E18" s="12"/>
      <c r="F18" s="18" t="e" cm="1">
        <f t="array" ref="F18">(Atual - Passado) / Passado</f>
        <v>#NAME?</v>
      </c>
      <c r="G18" s="18"/>
      <c r="H18" s="18"/>
      <c r="I18" s="18"/>
      <c r="J18" s="12"/>
      <c r="K18" s="18" cm="1">
        <f t="array" aca="1" ref="K18" ca="1">SUMIFS(Lançamentos!B:B,Lançamentos!A:A,"&gt;="&amp;EOMÊS(TODAY(),-2)+1,Lançamentos!A:A,"&lt;="&amp;EOMÊS(TODAY(),-1))</f>
        <v>0</v>
      </c>
      <c r="L18" s="18"/>
      <c r="M18" s="18"/>
      <c r="N18" s="12"/>
      <c r="O18" s="22"/>
      <c r="P18" s="23"/>
      <c r="Q18" s="16"/>
      <c r="R18" s="22"/>
      <c r="S18" s="23"/>
      <c r="T18" s="12"/>
      <c r="U18" s="22"/>
      <c r="V18" s="23"/>
      <c r="W18" s="12"/>
      <c r="X18" s="12"/>
      <c r="Y18" s="12"/>
    </row>
    <row r="19" spans="1:25" ht="23.4" x14ac:dyDescent="0.3">
      <c r="A19" s="25"/>
      <c r="B19" s="18"/>
      <c r="C19" s="18"/>
      <c r="D19" s="18"/>
      <c r="E19" s="12"/>
      <c r="F19" s="18"/>
      <c r="G19" s="18"/>
      <c r="H19" s="18"/>
      <c r="I19" s="18"/>
      <c r="J19" s="12"/>
      <c r="K19" s="18"/>
      <c r="L19" s="18"/>
      <c r="M19" s="18"/>
      <c r="N19" s="12"/>
      <c r="O19" s="22"/>
      <c r="P19" s="23"/>
      <c r="Q19" s="16"/>
      <c r="R19" s="22"/>
      <c r="S19" s="23"/>
      <c r="T19" s="12"/>
      <c r="U19" s="22"/>
      <c r="V19" s="23"/>
      <c r="W19" s="12"/>
      <c r="X19" s="12"/>
      <c r="Y19" s="12"/>
    </row>
    <row r="20" spans="1:25" ht="23.4" x14ac:dyDescent="0.3">
      <c r="A20" s="25"/>
      <c r="B20" s="18"/>
      <c r="C20" s="18"/>
      <c r="D20" s="18"/>
      <c r="E20" s="12"/>
      <c r="F20" s="18"/>
      <c r="G20" s="18"/>
      <c r="H20" s="18"/>
      <c r="I20" s="18"/>
      <c r="J20" s="12"/>
      <c r="K20" s="18"/>
      <c r="L20" s="18"/>
      <c r="M20" s="18"/>
      <c r="N20" s="12"/>
      <c r="O20" s="22"/>
      <c r="P20" s="23"/>
      <c r="Q20" s="16"/>
      <c r="R20" s="22"/>
      <c r="S20" s="23"/>
      <c r="T20" s="12"/>
      <c r="U20" s="22"/>
      <c r="V20" s="23"/>
      <c r="W20" s="12"/>
      <c r="X20" s="12"/>
      <c r="Y20" s="12"/>
    </row>
    <row r="21" spans="1:25" ht="23.4" x14ac:dyDescent="0.3">
      <c r="A21" s="25"/>
      <c r="B21" s="18"/>
      <c r="C21" s="18"/>
      <c r="D21" s="18"/>
      <c r="E21" s="12"/>
      <c r="F21" s="18"/>
      <c r="G21" s="18"/>
      <c r="H21" s="18"/>
      <c r="I21" s="18"/>
      <c r="J21" s="12"/>
      <c r="K21" s="18"/>
      <c r="L21" s="18"/>
      <c r="M21" s="18"/>
      <c r="N21" s="12"/>
      <c r="O21" s="22"/>
      <c r="P21" s="23"/>
      <c r="Q21" s="16"/>
      <c r="R21" s="22"/>
      <c r="S21" s="23"/>
      <c r="T21" s="12"/>
      <c r="U21" s="22"/>
      <c r="V21" s="23"/>
      <c r="W21" s="12"/>
      <c r="X21" s="12"/>
      <c r="Y21" s="12"/>
    </row>
    <row r="22" spans="1:25" x14ac:dyDescent="0.3">
      <c r="A22" s="25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3">
      <c r="A23" s="25"/>
      <c r="B23" s="19" t="s">
        <v>21</v>
      </c>
      <c r="C23" s="26"/>
      <c r="D23" s="26"/>
      <c r="E23" s="12"/>
      <c r="F23" s="12"/>
      <c r="G23" s="12"/>
      <c r="H23" s="12"/>
      <c r="I23" s="12"/>
      <c r="J23" s="12"/>
      <c r="K23" s="19" t="s">
        <v>22</v>
      </c>
      <c r="L23" s="26"/>
      <c r="M23" s="26"/>
      <c r="N23" s="12"/>
      <c r="O23" s="19" t="s">
        <v>10</v>
      </c>
      <c r="P23" s="20"/>
      <c r="Q23" s="21"/>
      <c r="R23" s="12"/>
      <c r="S23" s="19" t="s">
        <v>11</v>
      </c>
      <c r="T23" s="20"/>
      <c r="U23" s="20"/>
      <c r="V23" s="21"/>
      <c r="W23" s="12"/>
      <c r="X23" s="12"/>
      <c r="Y23" s="12"/>
    </row>
    <row r="24" spans="1:25" x14ac:dyDescent="0.3">
      <c r="A24" s="25"/>
      <c r="B24" s="19"/>
      <c r="C24" s="26"/>
      <c r="D24" s="26"/>
      <c r="E24" s="12"/>
      <c r="F24" s="12"/>
      <c r="G24" s="12"/>
      <c r="H24" s="12"/>
      <c r="I24" s="12"/>
      <c r="J24" s="12"/>
      <c r="K24" s="19"/>
      <c r="L24" s="26"/>
      <c r="M24" s="26"/>
      <c r="N24" s="12"/>
      <c r="O24" s="19"/>
      <c r="P24" s="20"/>
      <c r="Q24" s="21"/>
      <c r="R24" s="12"/>
      <c r="S24" s="19"/>
      <c r="T24" s="20"/>
      <c r="U24" s="20"/>
      <c r="V24" s="21"/>
      <c r="W24" s="12"/>
      <c r="X24" s="12"/>
      <c r="Y24" s="12"/>
    </row>
    <row r="25" spans="1:25" x14ac:dyDescent="0.3">
      <c r="A25" s="2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4.4" customHeight="1" x14ac:dyDescent="0.3">
      <c r="A26" s="25"/>
      <c r="B26" s="29" t="str">
        <f ca="1">IF(B18=0,"-",IF(B9&gt;B18,"📈 +"&amp;TEXT((B9-B18)/B18,"0%"),IF(B9&lt;B18,"📉 "&amp;TEXT((B9-B18)/B18,"0%"),"➖ 0%")))</f>
        <v>➖ 0%</v>
      </c>
      <c r="C26" s="29"/>
      <c r="D26" s="29"/>
      <c r="E26" s="12"/>
      <c r="F26" s="12"/>
      <c r="G26" s="12"/>
      <c r="H26" s="12"/>
      <c r="I26" s="12"/>
      <c r="J26" s="12"/>
      <c r="K26" s="29" t="str">
        <f ca="1">IF(K18=0,"-",IF(K9&gt;K18,"📈 +"&amp;TEXT((K9-K18)/K18,"0%"),IF(K9&lt;K18,"📉 "&amp;TEXT((K9-K18)/K18,"0%"),"➖ 0%")))</f>
        <v>-</v>
      </c>
      <c r="L26" s="29"/>
      <c r="M26" s="29"/>
      <c r="N26" s="12"/>
      <c r="O26" s="18" t="str">
        <f ca="1">IF(B9&gt;=Metas!B2,"✔ META BATIDA","✘ ABAIXO DA META")</f>
        <v>✘ ABAIXO DA META</v>
      </c>
      <c r="P26" s="18"/>
      <c r="Q26" s="18"/>
      <c r="R26" s="12"/>
      <c r="S26" s="18" t="str">
        <f ca="1">IF(K9&gt;=Metas!B3,"✔ META BATIDA","✘ ABAIXO DA META")</f>
        <v>✔ META BATIDA</v>
      </c>
      <c r="T26" s="18"/>
      <c r="U26" s="18"/>
      <c r="V26" s="18"/>
      <c r="W26" s="12"/>
      <c r="X26" s="12"/>
      <c r="Y26" s="12"/>
    </row>
    <row r="27" spans="1:25" ht="14.4" customHeight="1" x14ac:dyDescent="0.3">
      <c r="A27" s="25"/>
      <c r="B27" s="29"/>
      <c r="C27" s="29"/>
      <c r="D27" s="29"/>
      <c r="E27" s="12"/>
      <c r="F27" s="12"/>
      <c r="G27" s="12"/>
      <c r="H27" s="12"/>
      <c r="I27" s="12"/>
      <c r="J27" s="12"/>
      <c r="K27" s="29"/>
      <c r="L27" s="29"/>
      <c r="M27" s="29"/>
      <c r="N27" s="12"/>
      <c r="O27" s="18"/>
      <c r="P27" s="18"/>
      <c r="Q27" s="18"/>
      <c r="R27" s="12"/>
      <c r="S27" s="18"/>
      <c r="T27" s="18"/>
      <c r="U27" s="18"/>
      <c r="V27" s="18"/>
      <c r="W27" s="12"/>
      <c r="X27" s="12"/>
      <c r="Y27" s="12"/>
    </row>
    <row r="28" spans="1:25" ht="14.4" customHeight="1" x14ac:dyDescent="0.3">
      <c r="A28" s="25"/>
      <c r="B28" s="29"/>
      <c r="C28" s="29"/>
      <c r="D28" s="29"/>
      <c r="E28" s="12"/>
      <c r="F28" s="12"/>
      <c r="G28" s="12"/>
      <c r="H28" s="12"/>
      <c r="I28" s="12"/>
      <c r="J28" s="12"/>
      <c r="K28" s="29"/>
      <c r="L28" s="29"/>
      <c r="M28" s="29"/>
      <c r="N28" s="12"/>
      <c r="O28" s="18"/>
      <c r="P28" s="18"/>
      <c r="Q28" s="18"/>
      <c r="R28" s="12"/>
      <c r="S28" s="18"/>
      <c r="T28" s="18"/>
      <c r="U28" s="18"/>
      <c r="V28" s="18"/>
      <c r="W28" s="12"/>
      <c r="X28" s="12"/>
      <c r="Y28" s="12"/>
    </row>
    <row r="29" spans="1:25" ht="14.4" customHeight="1" x14ac:dyDescent="0.3">
      <c r="A29" s="25"/>
      <c r="B29" s="29"/>
      <c r="C29" s="29"/>
      <c r="D29" s="29"/>
      <c r="E29" s="12"/>
      <c r="F29" s="12"/>
      <c r="G29" s="12"/>
      <c r="H29" s="12"/>
      <c r="I29" s="12"/>
      <c r="J29" s="12"/>
      <c r="K29" s="29"/>
      <c r="L29" s="29"/>
      <c r="M29" s="29"/>
      <c r="N29" s="12"/>
      <c r="O29" s="18"/>
      <c r="P29" s="18"/>
      <c r="Q29" s="18"/>
      <c r="R29" s="12"/>
      <c r="S29" s="18"/>
      <c r="T29" s="18"/>
      <c r="U29" s="18"/>
      <c r="V29" s="18"/>
      <c r="W29" s="12"/>
      <c r="X29" s="12"/>
      <c r="Y29" s="12"/>
    </row>
    <row r="30" spans="1:25" x14ac:dyDescent="0.3">
      <c r="A30" s="2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3">
      <c r="A31" s="2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3">
      <c r="A32" s="2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50" spans="3:14" x14ac:dyDescent="0.3">
      <c r="K50" s="12"/>
    </row>
    <row r="51" spans="3:14" x14ac:dyDescent="0.3">
      <c r="K51" s="12"/>
    </row>
    <row r="52" spans="3:14" x14ac:dyDescent="0.3">
      <c r="K52" s="12"/>
    </row>
    <row r="53" spans="3:14" x14ac:dyDescent="0.3">
      <c r="K53" s="12"/>
    </row>
    <row r="54" spans="3:14" x14ac:dyDescent="0.3">
      <c r="K54" s="12"/>
    </row>
    <row r="55" spans="3:14" x14ac:dyDescent="0.3">
      <c r="K55" s="12"/>
    </row>
    <row r="56" spans="3:14" x14ac:dyDescent="0.3">
      <c r="K56" s="12"/>
    </row>
    <row r="57" spans="3:14" x14ac:dyDescent="0.3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3:14" x14ac:dyDescent="0.3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3:14" x14ac:dyDescent="0.3">
      <c r="K59" s="12"/>
    </row>
    <row r="60" spans="3:14" x14ac:dyDescent="0.3">
      <c r="K60" s="12"/>
    </row>
    <row r="61" spans="3:14" x14ac:dyDescent="0.3">
      <c r="K61" s="12"/>
    </row>
    <row r="62" spans="3:14" x14ac:dyDescent="0.3">
      <c r="K62" s="12"/>
    </row>
    <row r="63" spans="3:14" x14ac:dyDescent="0.3">
      <c r="K63" s="12"/>
    </row>
    <row r="64" spans="3:14" x14ac:dyDescent="0.3">
      <c r="K64" s="12"/>
    </row>
    <row r="65" spans="3:14" x14ac:dyDescent="0.3">
      <c r="K65" s="12"/>
    </row>
    <row r="66" spans="3:14" x14ac:dyDescent="0.3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3:14" x14ac:dyDescent="0.3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3:14" x14ac:dyDescent="0.3">
      <c r="F68" s="12"/>
      <c r="G68" s="12"/>
      <c r="H68" s="12"/>
      <c r="I68" s="12"/>
      <c r="J68" s="12"/>
      <c r="K68" s="12"/>
      <c r="L68" s="12"/>
      <c r="M68" s="12"/>
      <c r="N68" s="12"/>
    </row>
    <row r="69" spans="3:14" x14ac:dyDescent="0.3">
      <c r="F69" s="12"/>
      <c r="G69" s="12"/>
      <c r="H69" s="12"/>
      <c r="I69" s="12"/>
      <c r="J69" s="12"/>
      <c r="K69" s="12"/>
      <c r="L69" s="12"/>
      <c r="M69" s="12"/>
      <c r="N69" s="12"/>
    </row>
    <row r="70" spans="3:14" x14ac:dyDescent="0.3">
      <c r="F70" s="12"/>
      <c r="G70" s="12"/>
      <c r="H70" s="12"/>
      <c r="I70" s="12"/>
      <c r="J70" s="12"/>
      <c r="K70" s="12"/>
      <c r="L70" s="12"/>
      <c r="M70" s="12"/>
      <c r="N70" s="12"/>
    </row>
    <row r="71" spans="3:14" x14ac:dyDescent="0.3">
      <c r="F71" s="12"/>
      <c r="G71" s="12"/>
      <c r="H71" s="12"/>
      <c r="I71" s="12"/>
      <c r="J71" s="12"/>
      <c r="K71" s="12"/>
      <c r="L71" s="12"/>
      <c r="M71" s="12"/>
      <c r="N71" s="12"/>
    </row>
    <row r="72" spans="3:14" x14ac:dyDescent="0.3">
      <c r="F72" s="12"/>
      <c r="G72" s="12"/>
      <c r="H72" s="12"/>
      <c r="I72" s="12"/>
      <c r="J72" s="12"/>
      <c r="K72" s="12"/>
      <c r="L72" s="12"/>
      <c r="M72" s="12"/>
      <c r="N72" s="12"/>
    </row>
    <row r="73" spans="3:14" x14ac:dyDescent="0.3">
      <c r="F73" s="12"/>
      <c r="G73" s="12"/>
      <c r="H73" s="12"/>
      <c r="I73" s="12"/>
      <c r="J73" s="12"/>
      <c r="K73" s="12"/>
      <c r="L73" s="12"/>
      <c r="M73" s="12"/>
      <c r="N73" s="12"/>
    </row>
    <row r="74" spans="3:14" x14ac:dyDescent="0.3">
      <c r="F74" s="12"/>
      <c r="G74" s="12"/>
      <c r="H74" s="12"/>
      <c r="I74" s="12"/>
      <c r="J74" s="12"/>
      <c r="K74" s="12"/>
      <c r="L74" s="12"/>
      <c r="M74" s="12"/>
      <c r="N74" s="12"/>
    </row>
  </sheetData>
  <mergeCells count="30">
    <mergeCell ref="K26:M29"/>
    <mergeCell ref="K15:M16"/>
    <mergeCell ref="A1:Y2"/>
    <mergeCell ref="A3:A32"/>
    <mergeCell ref="K18:M21"/>
    <mergeCell ref="O3:V4"/>
    <mergeCell ref="U6:V7"/>
    <mergeCell ref="U9:V21"/>
    <mergeCell ref="B3:M4"/>
    <mergeCell ref="K6:M7"/>
    <mergeCell ref="K9:M12"/>
    <mergeCell ref="F6:I7"/>
    <mergeCell ref="F9:I12"/>
    <mergeCell ref="O6:P7"/>
    <mergeCell ref="O9:P21"/>
    <mergeCell ref="R6:S7"/>
    <mergeCell ref="R9:S21"/>
    <mergeCell ref="O26:Q29"/>
    <mergeCell ref="S23:V24"/>
    <mergeCell ref="S26:V29"/>
    <mergeCell ref="B6:D7"/>
    <mergeCell ref="B9:D12"/>
    <mergeCell ref="O23:Q24"/>
    <mergeCell ref="B15:D16"/>
    <mergeCell ref="B18:D21"/>
    <mergeCell ref="F15:I16"/>
    <mergeCell ref="F18:I21"/>
    <mergeCell ref="B23:D24"/>
    <mergeCell ref="B26:D29"/>
    <mergeCell ref="K23:M24"/>
  </mergeCells>
  <conditionalFormatting sqref="T25:U25 S26 O26:Q29">
    <cfRule type="containsText" dxfId="5" priority="9" operator="containsText" text="ABAIXO DA META">
      <formula>NOT(ISERROR(SEARCH("ABAIXO DA META",O25)))</formula>
    </cfRule>
    <cfRule type="containsText" dxfId="4" priority="10" operator="containsText" text="META BATIDA">
      <formula>NOT(ISERROR(SEARCH("META BATIDA",O25)))</formula>
    </cfRule>
  </conditionalFormatting>
  <conditionalFormatting sqref="B26:D29">
    <cfRule type="expression" priority="4">
      <formula>B9=B18</formula>
    </cfRule>
    <cfRule type="expression" dxfId="3" priority="5">
      <formula>B9&lt;B18</formula>
    </cfRule>
    <cfRule type="expression" dxfId="2" priority="6">
      <formula>B9&gt;B18</formula>
    </cfRule>
  </conditionalFormatting>
  <conditionalFormatting sqref="K26:M29">
    <cfRule type="expression" priority="1">
      <formula>K9=K18</formula>
    </cfRule>
    <cfRule type="expression" dxfId="1" priority="2">
      <formula>K9&lt;K18</formula>
    </cfRule>
    <cfRule type="expression" dxfId="0" priority="3">
      <formula>K9&gt;K18</formula>
    </cfRule>
  </conditionalFormatting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D066CE541A74486685836078CB787" ma:contentTypeVersion="5" ma:contentTypeDescription="Create a new document." ma:contentTypeScope="" ma:versionID="4de843540c7397f2a7b3de5ffa10d549">
  <xsd:schema xmlns:xsd="http://www.w3.org/2001/XMLSchema" xmlns:xs="http://www.w3.org/2001/XMLSchema" xmlns:p="http://schemas.microsoft.com/office/2006/metadata/properties" xmlns:ns3="8675c786-e7c6-4150-842e-55af30d2527d" targetNamespace="http://schemas.microsoft.com/office/2006/metadata/properties" ma:root="true" ma:fieldsID="9d95a7077b16e911ceb57439ee99487b" ns3:_="">
    <xsd:import namespace="8675c786-e7c6-4150-842e-55af30d252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5c786-e7c6-4150-842e-55af30d252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75c786-e7c6-4150-842e-55af30d2527d" xsi:nil="true"/>
  </documentManagement>
</p:properties>
</file>

<file path=customXml/itemProps1.xml><?xml version="1.0" encoding="utf-8"?>
<ds:datastoreItem xmlns:ds="http://schemas.openxmlformats.org/officeDocument/2006/customXml" ds:itemID="{8CA9DC3B-7779-4FA2-ABA4-F1DB5A647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75c786-e7c6-4150-842e-55af30d25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1E513-A78A-4A88-9B3F-E3566C0767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2BBDFA-142C-47ED-8F51-A15A64554DCB}">
  <ds:schemaRefs>
    <ds:schemaRef ds:uri="http://purl.org/dc/dcmitype/"/>
    <ds:schemaRef ds:uri="http://schemas.microsoft.com/office/2006/documentManagement/types"/>
    <ds:schemaRef ds:uri="8675c786-e7c6-4150-842e-55af30d2527d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Lançamentos</vt:lpstr>
      <vt:lpstr>Metas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TIAGO DE OLIVEIRA</cp:lastModifiedBy>
  <dcterms:created xsi:type="dcterms:W3CDTF">2026-05-05T12:21:47Z</dcterms:created>
  <dcterms:modified xsi:type="dcterms:W3CDTF">2026-05-06T17:19:20Z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2026-05-06T15:49:37Z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38ae2f02-5710-4e12-80bb-83600c3fdf1e</vt:lpwstr>
  </property>
  <property fmtid="{D5CDD505-2E9C-101B-9397-08002B2CF9AE}" pid="7" name="MSIP_Label_defa4170-0d19-0005-0001-bc88714345d2_ActionId">
    <vt:lpwstr>12ee9369-f4d5-44fc-a775-5c80639d1cdb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  <property fmtid="{D5CDD505-2E9C-101B-9397-08002B2CF9AE}" pid="10" name="ContentTypeId">
    <vt:lpwstr>0x010100574D066CE541A74486685836078CB787</vt:lpwstr>
  </property>
</Properties>
</file>